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\Downloads\google\estudo\"/>
    </mc:Choice>
  </mc:AlternateContent>
  <xr:revisionPtr revIDLastSave="0" documentId="8_{AA63347B-2E4D-4015-8C8B-B92D91DECEC6}" xr6:coauthVersionLast="47" xr6:coauthVersionMax="47" xr10:uidLastSave="{00000000-0000-0000-0000-000000000000}"/>
  <bookViews>
    <workbookView xWindow="11424" yWindow="0" windowWidth="11712" windowHeight="12336" xr2:uid="{78A8FE51-B595-41B6-9618-A297BB690DC7}"/>
  </bookViews>
  <sheets>
    <sheet name="Planilha1" sheetId="1" r:id="rId1"/>
    <sheet name="Planilha2" sheetId="2" r:id="rId2"/>
  </sheets>
  <definedNames>
    <definedName name="rendimento_carteira">Planilha1!$E$17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3" i="1"/>
  <c r="D44" i="1"/>
  <c r="D45" i="1"/>
  <c r="D46" i="1"/>
  <c r="D41" i="1"/>
  <c r="G8" i="2"/>
  <c r="A22" i="2"/>
  <c r="A23" i="2"/>
  <c r="A24" i="2"/>
  <c r="A25" i="2"/>
  <c r="A26" i="2"/>
  <c r="A16" i="2"/>
  <c r="A17" i="2"/>
  <c r="A18" i="2"/>
  <c r="A19" i="2"/>
  <c r="A20" i="2"/>
  <c r="A15" i="2"/>
  <c r="A21" i="2"/>
  <c r="A10" i="2"/>
  <c r="A11" i="2"/>
  <c r="A12" i="2"/>
  <c r="A13" i="2"/>
  <c r="A14" i="2"/>
  <c r="A9" i="2"/>
  <c r="D38" i="1"/>
  <c r="E18" i="1"/>
  <c r="D34" i="1"/>
  <c r="E34" i="1" s="1"/>
  <c r="D33" i="1"/>
  <c r="E33" i="1" s="1"/>
  <c r="D32" i="1"/>
  <c r="E32" i="1" s="1"/>
  <c r="D31" i="1"/>
  <c r="E31" i="1" s="1"/>
  <c r="D30" i="1"/>
  <c r="E30" i="1" s="1"/>
  <c r="E25" i="1"/>
  <c r="E26" i="1" s="1"/>
  <c r="E43" i="1" l="1"/>
  <c r="E42" i="1"/>
  <c r="E46" i="1"/>
  <c r="E41" i="1"/>
  <c r="E44" i="1"/>
  <c r="E45" i="1"/>
  <c r="E47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<sst xmlns="http://schemas.openxmlformats.org/spreadsheetml/2006/main" count="70" uniqueCount="34">
  <si>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</si>
  <si>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 anos?</t>
  </si>
  <si>
    <t>Taxa de rendimento mensal?</t>
  </si>
  <si>
    <t>Investimentos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</si>
  <si>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</si>
  <si>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</si>
  <si>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</si>
  <si>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</si>
  <si>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</si>
  <si>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</si>
  <si>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</si>
  <si>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</si>
  <si>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Patrimônio Acumulado</t>
  </si>
  <si>
    <t>Dividendos Mensais</t>
  </si>
  <si>
    <t>Salários</t>
  </si>
  <si>
    <t>CONFIGURAÇÕES</t>
  </si>
  <si>
    <t>Perfil</t>
  </si>
  <si>
    <t>Agressivo</t>
  </si>
  <si>
    <t>Conservador</t>
  </si>
  <si>
    <t>Valor a ser investido por mês</t>
  </si>
  <si>
    <t>Tipo de FII</t>
  </si>
  <si>
    <t>PAPEL</t>
  </si>
  <si>
    <t>TIJOLO</t>
  </si>
  <si>
    <t>HÍBRIDO</t>
  </si>
  <si>
    <t>FOF's</t>
  </si>
  <si>
    <t>DESENVOLVIMENTO</t>
  </si>
  <si>
    <t>HOTELARIAS</t>
  </si>
  <si>
    <t>Percentual Sugerido</t>
  </si>
  <si>
    <t>Valores</t>
  </si>
  <si>
    <t>Chave</t>
  </si>
  <si>
    <t>Moderado</t>
  </si>
  <si>
    <t>%</t>
  </si>
  <si>
    <t>Moderado-TIJOLO</t>
  </si>
  <si>
    <t xml:space="preserve">Sugestão de Investimento (30%)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</si>
</sst>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3"/>
      <color theme="1"/>
      <name val="Segoe UI Light"/>
      <family val="2"/>
    </font>
    <font>
      <sz val="12"/>
      <color theme="1"/>
      <name val="Segoe UI"/>
      <family val="2"/>
    </font>
    <font>
      <b/>
      <sz val="12"/>
      <name val="Segoe UI"/>
      <family val="2"/>
    </font>
    <font>
      <sz val="11"/>
      <color theme="1"/>
      <name val="Segoe UI"/>
      <family val="2"/>
    </font>
    <font>
      <b/>
      <sz val="13"/>
      <color theme="1"/>
      <name val="Segoe UI"/>
      <family val="2"/>
    </font>
    <font>
      <b/>
      <sz val="13"/>
      <name val="Segoe UI"/>
      <family val="2"/>
    </font>
    <font>
      <sz val="13"/>
      <color theme="1"/>
      <name val="Segoe UI"/>
      <family val="2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theme="2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2"/>
      </left>
      <right/>
      <top style="medium">
        <color indexed="64"/>
      </top>
      <bottom style="thin">
        <color theme="0" tint="-0.14999847407452621"/>
      </bottom>
      <diagonal/>
    </border>
    <border>
      <left style="medium">
        <color theme="2"/>
      </left>
      <right/>
      <top/>
      <bottom style="thin">
        <color theme="0" tint="-0.14999847407452621"/>
      </bottom>
      <diagonal/>
    </border>
    <border>
      <left style="medium">
        <color theme="2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1"/>
      </top>
      <bottom style="thin">
        <color theme="0" tint="-0.1499984740745262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theme="1"/>
      </right>
      <top/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medium">
        <color indexed="64"/>
      </bottom>
      <diagonal/>
    </border>
    <border>
      <left/>
      <right style="thin">
        <color theme="2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Border="1"/>
    <xf numFmtId="0" fontId="4" fillId="5" borderId="0" xfId="0" applyFont="1" applyFill="1"/>
    <xf numFmtId="0" fontId="0" fillId="0" borderId="0" xfId="0" applyAlignment="1">
      <alignment horizontal="center"/>
    </xf>
    <xf numFmtId="0" fontId="6" fillId="3" borderId="14" xfId="0" applyFont="1" applyFill="1" applyBorder="1" applyAlignment="1">
      <alignment vertical="center"/>
    </xf>
    <xf numFmtId="0" fontId="0" fillId="0" borderId="15" xfId="0" applyBorder="1"/>
    <xf numFmtId="0" fontId="7" fillId="6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left" indent="2"/>
    </xf>
    <xf numFmtId="0" fontId="10" fillId="4" borderId="23" xfId="0" applyFont="1" applyFill="1" applyBorder="1" applyAlignment="1">
      <alignment horizontal="left" indent="2"/>
    </xf>
    <xf numFmtId="0" fontId="10" fillId="4" borderId="28" xfId="0" applyFont="1" applyFill="1" applyBorder="1" applyAlignment="1">
      <alignment horizontal="left" indent="2"/>
    </xf>
    <xf numFmtId="0" fontId="10" fillId="4" borderId="29" xfId="0" applyFont="1" applyFill="1" applyBorder="1" applyAlignment="1">
      <alignment horizontal="left" indent="2"/>
    </xf>
    <xf numFmtId="0" fontId="9" fillId="7" borderId="24" xfId="0" applyFont="1" applyFill="1" applyBorder="1" applyAlignment="1">
      <alignment horizontal="left" indent="2"/>
    </xf>
    <xf numFmtId="0" fontId="9" fillId="7" borderId="21" xfId="0" applyFont="1" applyFill="1" applyBorder="1" applyAlignment="1">
      <alignment horizontal="left" indent="2"/>
    </xf>
    <xf numFmtId="0" fontId="9" fillId="7" borderId="26" xfId="0" applyFont="1" applyFill="1" applyBorder="1" applyAlignment="1">
      <alignment horizontal="left" indent="2"/>
    </xf>
    <xf numFmtId="0" fontId="9" fillId="7" borderId="23" xfId="0" applyFont="1" applyFill="1" applyBorder="1" applyAlignment="1">
      <alignment horizontal="left" indent="2"/>
    </xf>
    <xf numFmtId="0" fontId="9" fillId="7" borderId="34" xfId="0" applyFont="1" applyFill="1" applyBorder="1" applyAlignment="1">
      <alignment horizontal="left" indent="2"/>
    </xf>
    <xf numFmtId="0" fontId="9" fillId="7" borderId="20" xfId="0" applyFont="1" applyFill="1" applyBorder="1" applyAlignment="1">
      <alignment horizontal="left" indent="2"/>
    </xf>
    <xf numFmtId="0" fontId="9" fillId="7" borderId="31" xfId="0" applyFont="1" applyFill="1" applyBorder="1" applyAlignment="1">
      <alignment horizontal="left" indent="2"/>
    </xf>
    <xf numFmtId="0" fontId="9" fillId="7" borderId="22" xfId="0" applyFont="1" applyFill="1" applyBorder="1" applyAlignment="1">
      <alignment horizontal="left" indent="2"/>
    </xf>
    <xf numFmtId="0" fontId="9" fillId="7" borderId="32" xfId="0" applyFont="1" applyFill="1" applyBorder="1" applyAlignment="1">
      <alignment horizontal="left" indent="2"/>
    </xf>
    <xf numFmtId="0" fontId="9" fillId="7" borderId="33" xfId="0" applyFont="1" applyFill="1" applyBorder="1" applyAlignment="1">
      <alignment horizontal="left" indent="2"/>
    </xf>
    <xf numFmtId="0" fontId="9" fillId="7" borderId="5" xfId="0" applyFont="1" applyFill="1" applyBorder="1" applyAlignment="1">
      <alignment horizontal="left" indent="2"/>
    </xf>
    <xf numFmtId="8" fontId="8" fillId="7" borderId="10" xfId="0" applyNumberFormat="1" applyFont="1" applyFill="1" applyBorder="1" applyAlignment="1">
      <alignment horizontal="center"/>
    </xf>
    <xf numFmtId="8" fontId="8" fillId="7" borderId="11" xfId="0" applyNumberFormat="1" applyFont="1" applyFill="1" applyBorder="1" applyAlignment="1">
      <alignment horizontal="center"/>
    </xf>
    <xf numFmtId="0" fontId="9" fillId="7" borderId="6" xfId="0" applyFont="1" applyFill="1" applyBorder="1" applyAlignment="1">
      <alignment horizontal="left" indent="2"/>
    </xf>
    <xf numFmtId="8" fontId="8" fillId="7" borderId="12" xfId="0" applyNumberFormat="1" applyFont="1" applyFill="1" applyBorder="1" applyAlignment="1">
      <alignment horizontal="center"/>
    </xf>
    <xf numFmtId="0" fontId="2" fillId="2" borderId="0" xfId="2" applyBorder="1" applyAlignment="1">
      <alignment horizontal="left" indent="2"/>
    </xf>
    <xf numFmtId="0" fontId="2" fillId="2" borderId="0" xfId="2"/>
    <xf numFmtId="169" fontId="11" fillId="0" borderId="16" xfId="0" applyNumberFormat="1" applyFont="1" applyBorder="1" applyAlignment="1">
      <alignment horizontal="center"/>
    </xf>
    <xf numFmtId="10" fontId="11" fillId="0" borderId="17" xfId="0" applyNumberFormat="1" applyFont="1" applyBorder="1" applyAlignment="1">
      <alignment horizontal="center"/>
    </xf>
    <xf numFmtId="169" fontId="11" fillId="0" borderId="18" xfId="0" applyNumberFormat="1" applyFont="1" applyBorder="1" applyAlignment="1">
      <alignment horizontal="center"/>
    </xf>
    <xf numFmtId="169" fontId="12" fillId="0" borderId="25" xfId="1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10" fontId="12" fillId="0" borderId="27" xfId="0" applyNumberFormat="1" applyFont="1" applyBorder="1" applyAlignment="1">
      <alignment horizontal="center"/>
    </xf>
    <xf numFmtId="8" fontId="13" fillId="4" borderId="27" xfId="0" applyNumberFormat="1" applyFont="1" applyFill="1" applyBorder="1" applyAlignment="1">
      <alignment horizontal="center"/>
    </xf>
    <xf numFmtId="8" fontId="13" fillId="4" borderId="30" xfId="0" applyNumberFormat="1" applyFont="1" applyFill="1" applyBorder="1" applyAlignment="1">
      <alignment horizontal="center"/>
    </xf>
    <xf numFmtId="8" fontId="14" fillId="7" borderId="13" xfId="0" applyNumberFormat="1" applyFont="1" applyFill="1" applyBorder="1" applyAlignment="1">
      <alignment horizontal="center"/>
    </xf>
    <xf numFmtId="8" fontId="14" fillId="7" borderId="7" xfId="0" applyNumberFormat="1" applyFont="1" applyFill="1" applyBorder="1" applyAlignment="1">
      <alignment horizontal="center"/>
    </xf>
    <xf numFmtId="8" fontId="14" fillId="7" borderId="8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0" fontId="2" fillId="2" borderId="0" xfId="2" applyAlignment="1">
      <alignment horizontal="center"/>
    </xf>
    <xf numFmtId="0" fontId="3" fillId="7" borderId="0" xfId="0" applyFont="1" applyFill="1"/>
    <xf numFmtId="169" fontId="3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0" xfId="0" applyFont="1" applyFill="1"/>
    <xf numFmtId="0" fontId="0" fillId="8" borderId="0" xfId="0" applyFill="1"/>
    <xf numFmtId="169" fontId="0" fillId="8" borderId="0" xfId="0" applyNumberFormat="1" applyFill="1"/>
    <xf numFmtId="0" fontId="0" fillId="0" borderId="35" xfId="0" applyBorder="1"/>
    <xf numFmtId="0" fontId="0" fillId="0" borderId="3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2" applyBorder="1"/>
    <xf numFmtId="9" fontId="0" fillId="0" borderId="35" xfId="0" applyNumberFormat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Planilha1!$C$41:$C$46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Planilha1!$D$41:$D$46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D-4ECB-BA51-B2C66EA13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7777777777777776E-2"/>
          <c:y val="9.4327063283756202E-2"/>
          <c:w val="0.33730708869028975"/>
          <c:h val="0.77430883639545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402771</xdr:colOff>
      <xdr:row>2</xdr:row>
      <xdr:rowOff>87087</xdr:rowOff>
    </xdr:from>
    <xdr:to>
      <xdr:col>6</xdr:col>
      <xdr:colOff>326571</xdr:colOff>
      <xdr:row>13</xdr:row>
      <xdr:rowOff>65315</xdr:rowOff>
    </xdr:to>
    <xdr:pic>
      <xdr:nvPicPr>
        <xdr:cNvPr id="3" name="Imagem 2" descr="O que é investimento financeiro, quais os principais e como investir |  investimentos.com.br">
          <a:extLst>
            <a:ext uri="{FF2B5EF4-FFF2-40B4-BE49-F238E27FC236}">
              <a16:creationId xmlns:a16="http://schemas.microsoft.com/office/drawing/2014/main" id="{298ACB43-9CB9-7FA8-75CA-9D838357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457201"/>
          <a:ext cx="7064828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21771</xdr:colOff>
      <xdr:row>48</xdr:row>
      <xdr:rowOff>65314</xdr:rowOff>
    </xdr:from>
    <xdr:to>
      <xdr:col>5</xdr:col>
      <xdr:colOff>10884</xdr:colOff>
      <xdr:row>63</xdr:row>
      <xdr:rowOff>157842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E07E96-1366-3EA7-76CB-2CB23F385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41C8-3E1E-423A-8FC9-F1E35061CDDF}">
  <dimension ref="A13:O74"/>
  <sheetViews>
    <sheetView showGridLines="0" showRowColHeaders="0" tabSelected="1" topLeftCell="A31" zoomScale="70" zoomScaleNormal="70" workbookViewId="0">
      <selection activeCell="I45" sqref="I45"/>
    </sheetView>
  </sheetViews>
  <sheetFormatPr defaultColWidth="0" defaultRowHeight="14.4" x14ac:dyDescent="0.3"/>
  <cols>
    <col min="1" max="2" width="10.77734375" customWidth="1"/>
    <col min="3" max="3" width="42.109375" customWidth="1"/>
    <col min="4" max="4" width="28.33203125" customWidth="1"/>
    <col min="5" max="5" width="16.44140625" bestFit="1" customWidth="1"/>
    <col min="6" max="6" width="6.33203125" customWidth="1"/>
    <col min="7" max="14" width="7.21875" customWidth="1"/>
    <col min="15" max="15" width="8.88671875" customWidth="1"/>
    <col min="16" max="16384" width="8.88671875" hidden="1"/>
  </cols>
  <sheetData>
    <row r="13" spans="3:5" ht="16.2" customHeight="1" x14ac:dyDescent="0.3"/>
    <row r="14" spans="3:5" ht="16.2" customHeight="1" thickBot="1" x14ac:dyDescent="0.35"/>
    <row r="15" spans="3:5" ht="16.2" customHeight="1" thickBot="1" x14ac:dyDescent="0.35">
      <c r="C15" s="6" t="s">
        <v>15</v>
      </c>
      <c r="D15" s="13"/>
      <c r="E15" s="12"/>
    </row>
    <row r="16" spans="3:5" ht="16.2" customHeight="1" x14ac:dyDescent="0.45">
      <c r="C16" s="22" t="s">
        <v>14</v>
      </c>
      <c r="D16" s="23"/>
      <c r="E16" s="35">
        <v>5000</v>
      </c>
    </row>
    <row r="17" spans="1:6" ht="16.2" customHeight="1" x14ac:dyDescent="0.45">
      <c r="C17" s="24" t="s">
        <v>11</v>
      </c>
      <c r="D17" s="25"/>
      <c r="E17" s="36">
        <v>0.01</v>
      </c>
    </row>
    <row r="18" spans="1:6" ht="16.2" customHeight="1" thickBot="1" x14ac:dyDescent="0.5">
      <c r="C18" s="26" t="s">
        <v>33</v>
      </c>
      <c r="D18" s="27"/>
      <c r="E18" s="37">
        <f>E16*30%</f>
        <v>1500</v>
      </c>
    </row>
    <row r="19" spans="1:6" ht="16.2" customHeight="1" x14ac:dyDescent="0.3"/>
    <row r="20" spans="1:6" ht="16.2" customHeight="1" thickBot="1" x14ac:dyDescent="0.35"/>
    <row r="21" spans="1:6" ht="28.8" customHeight="1" x14ac:dyDescent="0.3">
      <c r="C21" s="7" t="s">
        <v>3</v>
      </c>
      <c r="D21" s="9"/>
      <c r="E21" s="11"/>
    </row>
    <row r="22" spans="1:6" ht="19.8" x14ac:dyDescent="0.45">
      <c r="C22" s="18" t="s">
        <v>0</v>
      </c>
      <c r="D22" s="19"/>
      <c r="E22" s="38">
        <v>1000</v>
      </c>
    </row>
    <row r="23" spans="1:6" ht="19.8" x14ac:dyDescent="0.45">
      <c r="C23" s="20" t="s">
        <v>1</v>
      </c>
      <c r="D23" s="21"/>
      <c r="E23" s="39">
        <v>5</v>
      </c>
    </row>
    <row r="24" spans="1:6" ht="19.8" x14ac:dyDescent="0.45">
      <c r="C24" s="20" t="s">
        <v>2</v>
      </c>
      <c r="D24" s="21"/>
      <c r="E24" s="40">
        <v>1.0789999999999999E-2</v>
      </c>
    </row>
    <row r="25" spans="1:6" ht="19.8" x14ac:dyDescent="0.45">
      <c r="C25" s="14" t="s">
        <v>12</v>
      </c>
      <c r="D25" s="15"/>
      <c r="E25" s="41">
        <f>FV(E24,E23*12,E22*-1)</f>
        <v>83776.913998487638</v>
      </c>
    </row>
    <row r="26" spans="1:6" ht="20.399999999999999" thickBot="1" x14ac:dyDescent="0.5">
      <c r="C26" s="16" t="s">
        <v>13</v>
      </c>
      <c r="D26" s="17"/>
      <c r="E26" s="42">
        <f>E25*$E$17</f>
        <v>837.76913998487635</v>
      </c>
    </row>
    <row r="28" spans="1:6" ht="15" thickBot="1" x14ac:dyDescent="0.35"/>
    <row r="29" spans="1:6" ht="34.200000000000003" customHeight="1" thickBot="1" x14ac:dyDescent="0.35">
      <c r="C29" s="8" t="s">
        <v>9</v>
      </c>
      <c r="D29" s="10"/>
      <c r="E29" s="4" t="s">
        <v>10</v>
      </c>
      <c r="F29" s="1"/>
    </row>
    <row r="30" spans="1:6" ht="19.8" x14ac:dyDescent="0.45">
      <c r="A30" s="2">
        <v>2</v>
      </c>
      <c r="B30" s="2"/>
      <c r="C30" s="28" t="s">
        <v>4</v>
      </c>
      <c r="D30" s="29">
        <f>FV($E$24,$A30*12,$E$22*-1)</f>
        <v>27227.627297645216</v>
      </c>
      <c r="E30" s="43">
        <f>D30*$E$17</f>
        <v>272.27627297645216</v>
      </c>
    </row>
    <row r="31" spans="1:6" ht="19.8" x14ac:dyDescent="0.45">
      <c r="A31" s="2">
        <v>5</v>
      </c>
      <c r="B31" s="2"/>
      <c r="C31" s="28" t="s">
        <v>5</v>
      </c>
      <c r="D31" s="30">
        <f>FV($E$24,$A31*12,$E$22*-1)</f>
        <v>83776.913998487638</v>
      </c>
      <c r="E31" s="44">
        <f>D31*$E$17</f>
        <v>837.76913998487635</v>
      </c>
    </row>
    <row r="32" spans="1:6" ht="19.8" x14ac:dyDescent="0.45">
      <c r="A32" s="2">
        <v>10</v>
      </c>
      <c r="B32" s="2"/>
      <c r="C32" s="28" t="s">
        <v>6</v>
      </c>
      <c r="D32" s="30">
        <f>FV($E$24,$A32*12,$E$22*-1)</f>
        <v>243284.2125301722</v>
      </c>
      <c r="E32" s="44">
        <f>D32*$E$17</f>
        <v>2432.8421253017218</v>
      </c>
    </row>
    <row r="33" spans="1:5" ht="19.8" x14ac:dyDescent="0.45">
      <c r="A33" s="2">
        <v>20</v>
      </c>
      <c r="B33" s="2"/>
      <c r="C33" s="28" t="s">
        <v>7</v>
      </c>
      <c r="D33" s="30">
        <f>FV($E$24,$A33*12,$E$22*-1)</f>
        <v>1125198.4000970805</v>
      </c>
      <c r="E33" s="44">
        <f>D33*$E$17</f>
        <v>11251.984000970806</v>
      </c>
    </row>
    <row r="34" spans="1:5" ht="20.399999999999999" thickBot="1" x14ac:dyDescent="0.5">
      <c r="A34" s="2">
        <v>30</v>
      </c>
      <c r="B34" s="2"/>
      <c r="C34" s="31" t="s">
        <v>8</v>
      </c>
      <c r="D34" s="32">
        <f>FV($E$24,$A34*12,$E$22*-1)</f>
        <v>4322169.6550047146</v>
      </c>
      <c r="E34" s="45">
        <f>D34*$E$17</f>
        <v>43221.696550047149</v>
      </c>
    </row>
    <row r="37" spans="1:5" x14ac:dyDescent="0.3">
      <c r="C37" s="33" t="s">
        <v>16</v>
      </c>
      <c r="D37" s="47" t="s">
        <v>17</v>
      </c>
      <c r="E37" s="34"/>
    </row>
    <row r="38" spans="1:5" x14ac:dyDescent="0.3">
      <c r="C38" s="48" t="s">
        <v>19</v>
      </c>
      <c r="D38" s="49">
        <f>E22</f>
        <v>1000</v>
      </c>
      <c r="E38" s="48"/>
    </row>
    <row r="40" spans="1:5" x14ac:dyDescent="0.3">
      <c r="C40" s="51" t="s">
        <v>20</v>
      </c>
      <c r="D40" s="52" t="s">
        <v>27</v>
      </c>
      <c r="E40" s="52" t="s">
        <v>28</v>
      </c>
    </row>
    <row r="41" spans="1:5" x14ac:dyDescent="0.3">
      <c r="C41" s="3" t="s">
        <v>21</v>
      </c>
      <c r="D41" s="50">
        <f>VLOOKUP($D$37&amp;"-"&amp;C41,Planilha2!A:D,4,FALSE)</f>
        <v>0.5</v>
      </c>
      <c r="E41" s="46">
        <f>$D$38*D41</f>
        <v>500</v>
      </c>
    </row>
    <row r="42" spans="1:5" x14ac:dyDescent="0.3">
      <c r="C42" s="3" t="s">
        <v>22</v>
      </c>
      <c r="D42" s="50">
        <f>VLOOKUP($D$37&amp;"-"&amp;C42,Planilha2!A:D,4,FALSE)</f>
        <v>0.1</v>
      </c>
      <c r="E42" s="46">
        <f t="shared" ref="E42:E46" si="0">$D$38*D42</f>
        <v>100</v>
      </c>
    </row>
    <row r="43" spans="1:5" x14ac:dyDescent="0.3">
      <c r="C43" s="3" t="s">
        <v>23</v>
      </c>
      <c r="D43" s="50">
        <f>VLOOKUP($D$37&amp;"-"&amp;C43,Planilha2!A:D,4,FALSE)</f>
        <v>0.05</v>
      </c>
      <c r="E43" s="46">
        <f t="shared" si="0"/>
        <v>50</v>
      </c>
    </row>
    <row r="44" spans="1:5" x14ac:dyDescent="0.3">
      <c r="C44" s="3" t="s">
        <v>24</v>
      </c>
      <c r="D44" s="50">
        <f>VLOOKUP($D$37&amp;"-"&amp;C44,Planilha2!A:D,4,FALSE)</f>
        <v>0.05</v>
      </c>
      <c r="E44" s="46">
        <f t="shared" si="0"/>
        <v>50</v>
      </c>
    </row>
    <row r="45" spans="1:5" x14ac:dyDescent="0.3">
      <c r="C45" s="3" t="s">
        <v>25</v>
      </c>
      <c r="D45" s="50">
        <f>VLOOKUP($D$37&amp;"-"&amp;C45,Planilha2!A:D,4,FALSE)</f>
        <v>0.2</v>
      </c>
      <c r="E45" s="46">
        <f t="shared" si="0"/>
        <v>200</v>
      </c>
    </row>
    <row r="46" spans="1:5" x14ac:dyDescent="0.3">
      <c r="C46" s="3" t="s">
        <v>26</v>
      </c>
      <c r="D46" s="50">
        <f>VLOOKUP($D$37&amp;"-"&amp;C46,Planilha2!A:D,4,FALSE)</f>
        <v>0.1</v>
      </c>
      <c r="E46" s="3">
        <f t="shared" si="0"/>
        <v>100</v>
      </c>
    </row>
    <row r="47" spans="1:5" x14ac:dyDescent="0.3">
      <c r="C47" s="53"/>
      <c r="D47" s="53"/>
      <c r="E47" s="54">
        <f>SUM(E41:E46)</f>
        <v>1000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</sheetData>
  <mergeCells count="11">
    <mergeCell ref="C26:D26"/>
    <mergeCell ref="C21:E21"/>
    <mergeCell ref="C16:D16"/>
    <mergeCell ref="C17:D17"/>
    <mergeCell ref="C18:D18"/>
    <mergeCell ref="C29:D29"/>
    <mergeCell ref="C15:D15"/>
    <mergeCell ref="C22:D22"/>
    <mergeCell ref="C23:D23"/>
    <mergeCell ref="C24:D24"/>
    <mergeCell ref="C25:D25"/>
  </mergeCells>
  <dataValidations count="1">
    <dataValidation type="list" allowBlank="1" showInputMessage="1" showErrorMessage="1" sqref="D37" xr:uid="{C529611B-E879-49BF-B428-E09AA22414F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DCA8-CC08-4F2F-B5BE-9054361BC70C}">
  <dimension ref="A8:G26"/>
  <sheetViews>
    <sheetView topLeftCell="A4" workbookViewId="0">
      <selection activeCell="G9" sqref="G9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6" max="6" width="15.44140625" bestFit="1" customWidth="1"/>
  </cols>
  <sheetData>
    <row r="8" spans="1:7" x14ac:dyDescent="0.3">
      <c r="A8" t="s">
        <v>29</v>
      </c>
      <c r="B8" t="s">
        <v>16</v>
      </c>
      <c r="C8" t="s">
        <v>20</v>
      </c>
      <c r="D8" s="3" t="s">
        <v>31</v>
      </c>
      <c r="F8" s="59" t="s">
        <v>32</v>
      </c>
      <c r="G8" s="34">
        <f>VLOOKUP(F8,$A:$D,4,FALSE)</f>
        <v>0.4</v>
      </c>
    </row>
    <row r="9" spans="1:7" x14ac:dyDescent="0.3">
      <c r="A9" t="str">
        <f>$B$9&amp;"-"&amp;C9</f>
        <v>Conservador-PAPEL</v>
      </c>
      <c r="B9" t="s">
        <v>18</v>
      </c>
      <c r="C9" s="3" t="s">
        <v>21</v>
      </c>
      <c r="D9" s="50">
        <v>0.3</v>
      </c>
    </row>
    <row r="10" spans="1:7" x14ac:dyDescent="0.3">
      <c r="A10" t="str">
        <f t="shared" ref="A10:A14" si="0">$B$9&amp;"-"&amp;C10</f>
        <v>Conservador-TIJOLO</v>
      </c>
      <c r="B10" t="s">
        <v>18</v>
      </c>
      <c r="C10" s="3" t="s">
        <v>22</v>
      </c>
      <c r="D10" s="50">
        <v>0.5</v>
      </c>
    </row>
    <row r="11" spans="1:7" x14ac:dyDescent="0.3">
      <c r="A11" t="str">
        <f t="shared" si="0"/>
        <v>Conservador-HÍBRIDO</v>
      </c>
      <c r="B11" t="s">
        <v>18</v>
      </c>
      <c r="C11" s="3" t="s">
        <v>23</v>
      </c>
      <c r="D11" s="50">
        <v>0.1</v>
      </c>
    </row>
    <row r="12" spans="1:7" x14ac:dyDescent="0.3">
      <c r="A12" t="str">
        <f t="shared" si="0"/>
        <v>Conservador-FOF's</v>
      </c>
      <c r="B12" t="s">
        <v>18</v>
      </c>
      <c r="C12" s="3" t="s">
        <v>24</v>
      </c>
      <c r="D12" s="50">
        <v>0.1</v>
      </c>
    </row>
    <row r="13" spans="1:7" x14ac:dyDescent="0.3">
      <c r="A13" t="str">
        <f t="shared" si="0"/>
        <v>Conservador-DESENVOLVIMENTO</v>
      </c>
      <c r="B13" t="s">
        <v>18</v>
      </c>
      <c r="C13" s="3" t="s">
        <v>25</v>
      </c>
      <c r="D13" s="50">
        <v>0</v>
      </c>
    </row>
    <row r="14" spans="1:7" x14ac:dyDescent="0.3">
      <c r="A14" s="55" t="str">
        <f t="shared" si="0"/>
        <v>Conservador-HOTELARIAS</v>
      </c>
      <c r="B14" s="55" t="s">
        <v>18</v>
      </c>
      <c r="C14" s="56" t="s">
        <v>26</v>
      </c>
      <c r="D14" s="60">
        <v>0</v>
      </c>
    </row>
    <row r="15" spans="1:7" x14ac:dyDescent="0.3">
      <c r="A15" s="5" t="str">
        <f>$B$15&amp;"-"&amp;C15</f>
        <v>Moderado-PAPEL</v>
      </c>
      <c r="B15" s="5" t="s">
        <v>30</v>
      </c>
      <c r="C15" s="57" t="s">
        <v>21</v>
      </c>
      <c r="D15" s="50">
        <v>0.32</v>
      </c>
    </row>
    <row r="16" spans="1:7" x14ac:dyDescent="0.3">
      <c r="A16" s="1" t="str">
        <f t="shared" ref="A16:A20" si="1">$B$15&amp;"-"&amp;C16</f>
        <v>Moderado-TIJOLO</v>
      </c>
      <c r="B16" s="1" t="s">
        <v>30</v>
      </c>
      <c r="C16" s="58" t="s">
        <v>22</v>
      </c>
      <c r="D16" s="50">
        <v>0.4</v>
      </c>
    </row>
    <row r="17" spans="1:4" x14ac:dyDescent="0.3">
      <c r="A17" s="1" t="str">
        <f t="shared" si="1"/>
        <v>Moderado-HÍBRIDO</v>
      </c>
      <c r="B17" s="1" t="s">
        <v>30</v>
      </c>
      <c r="C17" s="58" t="s">
        <v>23</v>
      </c>
      <c r="D17" s="50">
        <v>0.08</v>
      </c>
    </row>
    <row r="18" spans="1:4" x14ac:dyDescent="0.3">
      <c r="A18" s="1" t="str">
        <f t="shared" si="1"/>
        <v>Moderado-FOF's</v>
      </c>
      <c r="B18" s="1" t="s">
        <v>30</v>
      </c>
      <c r="C18" s="58" t="s">
        <v>24</v>
      </c>
      <c r="D18" s="50">
        <v>0.1</v>
      </c>
    </row>
    <row r="19" spans="1:4" x14ac:dyDescent="0.3">
      <c r="A19" s="1" t="str">
        <f t="shared" si="1"/>
        <v>Moderado-DESENVOLVIMENTO</v>
      </c>
      <c r="B19" s="1" t="s">
        <v>30</v>
      </c>
      <c r="C19" s="58" t="s">
        <v>25</v>
      </c>
      <c r="D19" s="50">
        <v>0.1</v>
      </c>
    </row>
    <row r="20" spans="1:4" x14ac:dyDescent="0.3">
      <c r="A20" s="55" t="str">
        <f t="shared" si="1"/>
        <v>Moderado-HOTELARIAS</v>
      </c>
      <c r="B20" s="55" t="s">
        <v>30</v>
      </c>
      <c r="C20" s="56" t="s">
        <v>26</v>
      </c>
      <c r="D20" s="60">
        <v>0.1</v>
      </c>
    </row>
    <row r="21" spans="1:4" x14ac:dyDescent="0.3">
      <c r="A21" t="str">
        <f>$B$21&amp;"-"&amp;C21</f>
        <v>Agressivo-PAPEL</v>
      </c>
      <c r="B21" t="s">
        <v>17</v>
      </c>
      <c r="C21" s="3" t="s">
        <v>21</v>
      </c>
      <c r="D21" s="50">
        <v>0.5</v>
      </c>
    </row>
    <row r="22" spans="1:4" x14ac:dyDescent="0.3">
      <c r="A22" t="str">
        <f t="shared" ref="A22:A26" si="2">$B$21&amp;"-"&amp;C22</f>
        <v>Agressivo-TIJOLO</v>
      </c>
      <c r="B22" t="s">
        <v>17</v>
      </c>
      <c r="C22" s="3" t="s">
        <v>22</v>
      </c>
      <c r="D22" s="50">
        <v>0.1</v>
      </c>
    </row>
    <row r="23" spans="1:4" x14ac:dyDescent="0.3">
      <c r="A23" t="str">
        <f t="shared" si="2"/>
        <v>Agressivo-HÍBRIDO</v>
      </c>
      <c r="B23" t="s">
        <v>17</v>
      </c>
      <c r="C23" s="3" t="s">
        <v>23</v>
      </c>
      <c r="D23" s="50">
        <v>0.05</v>
      </c>
    </row>
    <row r="24" spans="1:4" x14ac:dyDescent="0.3">
      <c r="A24" t="str">
        <f t="shared" si="2"/>
        <v>Agressivo-FOF's</v>
      </c>
      <c r="B24" t="s">
        <v>17</v>
      </c>
      <c r="C24" s="3" t="s">
        <v>24</v>
      </c>
      <c r="D24" s="50">
        <v>0.05</v>
      </c>
    </row>
    <row r="25" spans="1:4" x14ac:dyDescent="0.3">
      <c r="A25" t="str">
        <f t="shared" si="2"/>
        <v>Agressivo-DESENVOLVIMENTO</v>
      </c>
      <c r="B25" t="s">
        <v>17</v>
      </c>
      <c r="C25" s="3" t="s">
        <v>25</v>
      </c>
      <c r="D25" s="50">
        <v>0.2</v>
      </c>
    </row>
    <row r="26" spans="1:4" x14ac:dyDescent="0.3">
      <c r="A26" t="str">
        <f t="shared" si="2"/>
        <v>Agressivo-HOTELARIAS</v>
      </c>
      <c r="B26" t="s">
        <v>17</v>
      </c>
      <c r="C26" s="3" t="s">
        <v>26</v>
      </c>
      <c r="D26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2026-02-08T11:26:21Z</dcterms:created>
  <dcterms:modified xsi:type="dcterms:W3CDTF">2026-02-08T15:13:19Z</dcterms:modified>
</cp:coreProperties>
</file>